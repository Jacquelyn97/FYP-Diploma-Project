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hai Ying\OneDrive\Documents\Word\Final\gantt chart\"/>
    </mc:Choice>
  </mc:AlternateContent>
  <xr:revisionPtr revIDLastSave="0" documentId="13_ncr:1_{2F87A089-2ED4-45B3-BF2C-730783BB4F81}" xr6:coauthVersionLast="47" xr6:coauthVersionMax="47" xr10:uidLastSave="{00000000-0000-0000-0000-000000000000}"/>
  <bookViews>
    <workbookView xWindow="-110" yWindow="-110" windowWidth="21820" windowHeight="14620" xr2:uid="{703CA8EA-E6A3-4AE7-B985-A4735FEC5428}"/>
  </bookViews>
  <sheets>
    <sheet name="Sheet1" sheetId="1" r:id="rId1"/>
  </sheets>
  <definedNames>
    <definedName name="display_week">Sheet1!$H$3</definedName>
    <definedName name="prevWBS" localSheetId="0">Sheet1!$A1048576</definedName>
    <definedName name="_xlnm.Print_Area" localSheetId="0">Sheet1!$A$1:$BF$21</definedName>
    <definedName name="project_start">Sheet1!$C$3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 r="G19" i="1"/>
  <c r="G16" i="1"/>
  <c r="G17" i="1"/>
  <c r="G15" i="1"/>
  <c r="G14" i="1"/>
  <c r="G12" i="1"/>
  <c r="G11" i="1"/>
  <c r="G8" i="1"/>
  <c r="G9" i="1"/>
  <c r="J5" i="1" l="1"/>
  <c r="J3" i="1" s="1"/>
  <c r="A7" i="1"/>
  <c r="A8" i="1" s="1"/>
  <c r="A9" i="1" s="1"/>
  <c r="A10" i="1" s="1"/>
  <c r="A11" i="1" s="1"/>
  <c r="A12" i="1" s="1"/>
  <c r="A13" i="1" s="1"/>
  <c r="A14" i="1" s="1"/>
  <c r="A16" i="1" s="1"/>
  <c r="A18" i="1" s="1"/>
  <c r="A19" i="1" s="1"/>
  <c r="A20" i="1" s="1"/>
  <c r="K5" i="1" l="1"/>
  <c r="L5" i="1" s="1"/>
  <c r="M5" i="1" s="1"/>
  <c r="N5" i="1" s="1"/>
  <c r="O5" i="1" s="1"/>
  <c r="P5" i="1" s="1"/>
  <c r="Q5" i="1" s="1"/>
  <c r="J4" i="1"/>
  <c r="J6" i="1"/>
  <c r="R5" i="1" l="1"/>
  <c r="S5" i="1" s="1"/>
  <c r="T5" i="1" s="1"/>
  <c r="U5" i="1" s="1"/>
  <c r="V5" i="1" s="1"/>
  <c r="W5" i="1" s="1"/>
  <c r="X5" i="1" s="1"/>
  <c r="X3" i="1" s="1"/>
  <c r="Q3" i="1"/>
  <c r="Q4" i="1"/>
  <c r="K6" i="1"/>
  <c r="Y5" i="1" l="1"/>
  <c r="Z5" i="1" s="1"/>
  <c r="AA5" i="1" s="1"/>
  <c r="AB5" i="1" s="1"/>
  <c r="AC5" i="1" s="1"/>
  <c r="AD5" i="1" s="1"/>
  <c r="AE5" i="1" s="1"/>
  <c r="X4" i="1"/>
  <c r="L6" i="1"/>
  <c r="AE3" i="1" l="1"/>
  <c r="AF5" i="1"/>
  <c r="AF6" i="1" s="1"/>
  <c r="AE4" i="1"/>
  <c r="AG5" i="1"/>
  <c r="AH5" i="1" s="1"/>
  <c r="AI5" i="1" s="1"/>
  <c r="AJ5" i="1" s="1"/>
  <c r="AK5" i="1" s="1"/>
  <c r="AL5" i="1" s="1"/>
  <c r="AL3" i="1" s="1"/>
  <c r="M6" i="1"/>
  <c r="AM5" i="1" l="1"/>
  <c r="AN5" i="1" s="1"/>
  <c r="AO5" i="1" s="1"/>
  <c r="AP5" i="1" s="1"/>
  <c r="AQ5" i="1" s="1"/>
  <c r="AR5" i="1" s="1"/>
  <c r="AS5" i="1" s="1"/>
  <c r="AS3" i="1" s="1"/>
  <c r="AL4" i="1"/>
  <c r="N6" i="1"/>
  <c r="AS4" i="1" l="1"/>
  <c r="AT5" i="1"/>
  <c r="AU5" i="1" s="1"/>
  <c r="AV5" i="1" s="1"/>
  <c r="AW5" i="1" s="1"/>
  <c r="AX5" i="1" s="1"/>
  <c r="AY5" i="1" s="1"/>
  <c r="AZ5" i="1" s="1"/>
  <c r="AZ3" i="1" s="1"/>
  <c r="O6" i="1"/>
  <c r="BA5" i="1" l="1"/>
  <c r="BB5" i="1" s="1"/>
  <c r="BC5" i="1" s="1"/>
  <c r="BD5" i="1" s="1"/>
  <c r="BE5" i="1" s="1"/>
  <c r="BF5" i="1" s="1"/>
  <c r="AZ4" i="1"/>
  <c r="P6" i="1"/>
  <c r="Q6" i="1" l="1"/>
  <c r="R6" i="1" l="1"/>
  <c r="S6" i="1" l="1"/>
  <c r="T6" i="1" l="1"/>
  <c r="U6" i="1" l="1"/>
  <c r="V6" i="1" l="1"/>
  <c r="W6" i="1" l="1"/>
  <c r="X6" i="1" l="1"/>
  <c r="Y6" i="1" l="1"/>
  <c r="Z6" i="1" l="1"/>
  <c r="AA6" i="1" l="1"/>
  <c r="AB6" i="1" l="1"/>
  <c r="AC6" i="1" l="1"/>
  <c r="AD6" i="1" l="1"/>
  <c r="AE6" i="1" l="1"/>
  <c r="AG6" i="1" l="1"/>
  <c r="AH6" i="1" l="1"/>
  <c r="AI6" i="1" l="1"/>
  <c r="AJ6" i="1" l="1"/>
  <c r="AK6" i="1" l="1"/>
  <c r="AL6" i="1" l="1"/>
  <c r="AM6" i="1" l="1"/>
  <c r="AN6" i="1" l="1"/>
  <c r="AO6" i="1" l="1"/>
  <c r="AP6" i="1" l="1"/>
  <c r="AQ6" i="1" l="1"/>
  <c r="AR6" i="1" l="1"/>
  <c r="AS6" i="1" l="1"/>
  <c r="AT6" i="1" l="1"/>
  <c r="AU6" i="1" l="1"/>
  <c r="AV6" i="1" l="1"/>
  <c r="AW6" i="1" l="1"/>
  <c r="AX6" i="1" l="1"/>
  <c r="AY6" i="1" l="1"/>
  <c r="AZ6" i="1" l="1"/>
  <c r="BA6" i="1" l="1"/>
  <c r="BB6" i="1" l="1"/>
  <c r="BC6" i="1" l="1"/>
  <c r="BD6" i="1" l="1"/>
  <c r="BE6" i="1" l="1"/>
  <c r="BF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6" authorId="0" shapeId="0" xr:uid="{6DE93B51-AA96-4880-B32F-B262EF612445}">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6" authorId="0" shapeId="0" xr:uid="{8E6AE16A-D373-4490-8D88-98040EBB39D2}">
      <text>
        <r>
          <rPr>
            <b/>
            <sz val="9"/>
            <color indexed="81"/>
            <rFont val="Tahoma"/>
            <family val="2"/>
          </rPr>
          <t>Task Description</t>
        </r>
        <r>
          <rPr>
            <sz val="9"/>
            <color indexed="81"/>
            <rFont val="Tahoma"/>
            <family val="2"/>
          </rPr>
          <t xml:space="preserve">
Enter the name of each task and sub-task. Use indents for sub-tasks.</t>
        </r>
      </text>
    </comment>
    <comment ref="D6" authorId="0" shapeId="0" xr:uid="{0FDAFF59-07EE-462B-9506-EB433D6E7F98}">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6" authorId="0" shapeId="0" xr:uid="{E66E40C1-D570-4A74-920E-E506F19BFDA5}">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6" authorId="1" shapeId="0" xr:uid="{70F90A06-3968-4674-90F9-BCC96E1D9E4D}">
      <text>
        <r>
          <rPr>
            <b/>
            <sz val="9"/>
            <color indexed="81"/>
            <rFont val="Tahoma"/>
            <family val="2"/>
          </rPr>
          <t>End Date:</t>
        </r>
        <r>
          <rPr>
            <sz val="9"/>
            <color indexed="81"/>
            <rFont val="Tahoma"/>
            <family val="2"/>
          </rPr>
          <t xml:space="preserve">
The End Date is calculated based on the Start Date and the Calendar Days columns.</t>
        </r>
      </text>
    </comment>
    <comment ref="G6" authorId="0" shapeId="0" xr:uid="{3930A40E-514E-415F-BD8B-8938B1BA6E39}">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6" authorId="0" shapeId="0" xr:uid="{25876C49-DDDD-4CB9-8822-3C7692AE2636}">
      <text>
        <r>
          <rPr>
            <b/>
            <sz val="9"/>
            <color indexed="81"/>
            <rFont val="Tahoma"/>
            <family val="2"/>
          </rPr>
          <t>Percent Complete</t>
        </r>
        <r>
          <rPr>
            <sz val="9"/>
            <color indexed="81"/>
            <rFont val="Tahoma"/>
            <family val="2"/>
          </rPr>
          <t xml:space="preserve">
Update the status of this task by entering the percent complete (between 0% and 100%).</t>
        </r>
      </text>
    </comment>
  </commentList>
</comments>
</file>

<file path=xl/sharedStrings.xml><?xml version="1.0" encoding="utf-8"?>
<sst xmlns="http://schemas.openxmlformats.org/spreadsheetml/2006/main" count="27" uniqueCount="27">
  <si>
    <t>Planning</t>
    <phoneticPr fontId="5" type="noConversion"/>
  </si>
  <si>
    <t>Decided project</t>
    <phoneticPr fontId="5" type="noConversion"/>
  </si>
  <si>
    <t>Edit Title</t>
    <phoneticPr fontId="5" type="noConversion"/>
  </si>
  <si>
    <t>Analysis</t>
    <phoneticPr fontId="5" type="noConversion"/>
  </si>
  <si>
    <t>Research related App</t>
    <phoneticPr fontId="5" type="noConversion"/>
  </si>
  <si>
    <t>Analysis functions of App</t>
    <phoneticPr fontId="5" type="noConversion"/>
  </si>
  <si>
    <t>Design</t>
    <phoneticPr fontId="5" type="noConversion"/>
  </si>
  <si>
    <t>Testing</t>
    <phoneticPr fontId="5" type="noConversion"/>
  </si>
  <si>
    <t>UI Test</t>
    <phoneticPr fontId="5" type="noConversion"/>
  </si>
  <si>
    <t>Functional Test</t>
    <phoneticPr fontId="5" type="noConversion"/>
  </si>
  <si>
    <t>WBS</t>
  </si>
  <si>
    <t>Project Start Date</t>
  </si>
  <si>
    <t xml:space="preserve">Display Week </t>
    <phoneticPr fontId="5" type="noConversion"/>
  </si>
  <si>
    <t>Project Lead</t>
  </si>
  <si>
    <t>Chai Ying</t>
    <phoneticPr fontId="5" type="noConversion"/>
  </si>
  <si>
    <t>SafeWisdom Software Project Schedule</t>
    <phoneticPr fontId="5" type="noConversion"/>
  </si>
  <si>
    <t>[Gantt Chart]</t>
    <phoneticPr fontId="5" type="noConversion"/>
  </si>
  <si>
    <t>DAYS</t>
  </si>
  <si>
    <t>TASK</t>
  </si>
  <si>
    <t>PREDECESSOR</t>
  </si>
  <si>
    <t>START</t>
  </si>
  <si>
    <t>END</t>
  </si>
  <si>
    <t>Blueprint [v1]</t>
    <phoneticPr fontId="5" type="noConversion"/>
  </si>
  <si>
    <t>Blueprint [v2]</t>
    <phoneticPr fontId="3" type="noConversion"/>
  </si>
  <si>
    <t>UI Design [v1]</t>
    <phoneticPr fontId="5" type="noConversion"/>
  </si>
  <si>
    <t>UI Design [v2]</t>
    <phoneticPr fontId="5" type="noConversion"/>
  </si>
  <si>
    <t>DONE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</si>
</sst>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m/d/yyyy\ \(dddd\)"/>
    <numFmt numFmtId="177" formatCode="d\ mmm\ yyyy"/>
    <numFmt numFmtId="178" formatCode="d"/>
    <numFmt numFmtId="179" formatCode="ddd\ dd/mm/yy"/>
    <numFmt numFmtId="180" formatCode="dd/mm/yyyy\ \(dddd\)"/>
  </numFmts>
  <fonts count="33">
    <font>
      <sz val="11"/>
      <color theme="1"/>
      <name val="等线"/>
      <family val="2"/>
      <charset val="134"/>
      <scheme val="minor"/>
    </font>
    <font>
      <sz val="9"/>
      <color theme="1"/>
      <name val="Avenir Next LT Pro Light"/>
      <family val="2"/>
    </font>
    <font>
      <b/>
      <sz val="11"/>
      <color theme="1" tint="0.34998626667073579"/>
      <name val="Avenir Next LT Pro Light"/>
      <family val="2"/>
    </font>
    <font>
      <sz val="9"/>
      <name val="等线"/>
      <family val="2"/>
      <charset val="134"/>
      <scheme val="minor"/>
    </font>
    <font>
      <b/>
      <sz val="11"/>
      <name val="Avenir Next LT Pro Light"/>
      <family val="2"/>
    </font>
    <font>
      <sz val="8"/>
      <name val="Arial"/>
      <family val="2"/>
    </font>
    <font>
      <sz val="9"/>
      <name val="Avenir Next LT Pro Light"/>
      <family val="2"/>
    </font>
    <font>
      <b/>
      <sz val="8"/>
      <color theme="1" tint="0.34998626667073579"/>
      <name val="Avenir Next LT Pro Light"/>
      <family val="2"/>
    </font>
    <font>
      <sz val="9"/>
      <color indexed="81"/>
      <name val="Tahoma"/>
      <family val="2"/>
    </font>
    <font>
      <b/>
      <sz val="9"/>
      <color indexed="81"/>
      <name val="Tahoma"/>
      <family val="2"/>
    </font>
    <font>
      <b/>
      <sz val="8"/>
      <color theme="4" tint="-0.249977111117893"/>
      <name val="Avenir Next LT Pro Light"/>
      <family val="2"/>
    </font>
    <font>
      <b/>
      <sz val="8"/>
      <color theme="4" tint="-0.499984740745262"/>
      <name val="Avenir Next LT Pro Light"/>
      <family val="2"/>
    </font>
    <font>
      <u/>
      <sz val="10"/>
      <color indexed="12"/>
      <name val="Arial"/>
      <family val="2"/>
    </font>
    <font>
      <b/>
      <u/>
      <sz val="8"/>
      <color theme="4" tint="-0.499984740745262"/>
      <name val="Avenir Next LT Pro Light"/>
      <family val="2"/>
    </font>
    <font>
      <sz val="8"/>
      <color theme="4" tint="-0.499984740745262"/>
      <name val="Avenir Next LT Pro Light"/>
      <family val="2"/>
    </font>
    <font>
      <sz val="8"/>
      <name val="Avenir Next LT Pro Light"/>
      <family val="2"/>
    </font>
    <font>
      <sz val="12"/>
      <color theme="4" tint="-0.249977111117893"/>
      <name val="Avenir Next LT Pro Light"/>
      <family val="2"/>
    </font>
    <font>
      <sz val="11"/>
      <color theme="4" tint="-0.249977111117893"/>
      <name val="Avenir Next LT Pro Light"/>
      <family val="2"/>
    </font>
    <font>
      <sz val="10"/>
      <color theme="4" tint="-0.249977111117893"/>
      <name val="Avenir Next LT Pro Light"/>
      <family val="2"/>
    </font>
    <font>
      <b/>
      <sz val="10"/>
      <color theme="4" tint="-0.249977111117893"/>
      <name val="Avenir Next LT Pro Light"/>
      <family val="2"/>
    </font>
    <font>
      <b/>
      <sz val="10"/>
      <color theme="4"/>
      <name val="Avenir Next LT Pro Light"/>
      <family val="2"/>
    </font>
    <font>
      <b/>
      <sz val="18"/>
      <color theme="0"/>
      <name val="Avenir Next LT Pro Light"/>
      <family val="2"/>
    </font>
    <font>
      <b/>
      <sz val="14"/>
      <color theme="0"/>
      <name val="Avenir Next LT Pro Light"/>
      <family val="2"/>
    </font>
    <font>
      <b/>
      <sz val="10"/>
      <color theme="0"/>
      <name val="Avenir Next LT Pro Light"/>
      <family val="2"/>
    </font>
    <font>
      <b/>
      <i/>
      <sz val="8"/>
      <color theme="0"/>
      <name val="Avenir Next LT Pro Light"/>
      <family val="2"/>
    </font>
    <font>
      <i/>
      <sz val="10"/>
      <color theme="0"/>
      <name val="Avenir Next LT Pro Light"/>
      <family val="2"/>
    </font>
    <font>
      <sz val="8"/>
      <color theme="4" tint="-0.249977111117893"/>
      <name val="Avenir Next LT Pro Light"/>
      <family val="2"/>
    </font>
    <font>
      <b/>
      <sz val="9"/>
      <color theme="4" tint="-0.249977111117893"/>
      <name val="Avenir Next LT Pro Light"/>
      <family val="2"/>
    </font>
    <font>
      <b/>
      <sz val="8"/>
      <color theme="4"/>
      <name val="Avenir Next LT Pro Light"/>
      <family val="2"/>
    </font>
    <font>
      <sz val="8"/>
      <color theme="0"/>
      <name val="Avenir Next LT Pro Light"/>
      <family val="2"/>
    </font>
    <font>
      <b/>
      <sz val="8"/>
      <color theme="0"/>
      <name val="Avenir Next LT Pro Light"/>
      <family val="2"/>
    </font>
    <font>
      <b/>
      <i/>
      <sz val="9"/>
      <color indexed="81"/>
      <name val="Tahoma"/>
      <family val="2"/>
    </font>
    <font>
      <i/>
      <sz val="9"/>
      <color indexed="81"/>
      <name val="Tahoma"/>
      <family val="2"/>
    </font>
  </fonts>
  <fills count="9">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solid">
        <fgColor theme="4"/>
        <bgColor indexed="64"/>
      </patternFill>
    </fill>
    <fill>
      <patternFill patternType="solid">
        <fgColor theme="0" tint="-0.249977111117893"/>
        <bgColor indexed="64"/>
      </patternFill>
    </fill>
    <fill>
      <patternFill patternType="solid">
        <fgColor theme="0" tint="-0.34998626667073579"/>
        <bgColor indexed="64"/>
      </patternFill>
    </fill>
  </fills>
  <borders count="15">
    <border>
      <left/>
      <right/>
      <top/>
      <bottom/>
      <diagonal/>
    </border>
    <border>
      <left style="medium">
        <color theme="4" tint="0.79995117038483843"/>
      </left>
      <right/>
      <top style="medium">
        <color theme="4" tint="0.79995117038483843"/>
      </top>
      <bottom style="medium">
        <color theme="4" tint="0.79995117038483843"/>
      </bottom>
      <diagonal/>
    </border>
    <border>
      <left/>
      <right/>
      <top style="medium">
        <color theme="4" tint="0.79995117038483843"/>
      </top>
      <bottom style="medium">
        <color theme="4" tint="0.79995117038483843"/>
      </bottom>
      <diagonal/>
    </border>
    <border>
      <left/>
      <right style="medium">
        <color theme="4" tint="0.79995117038483843"/>
      </right>
      <top style="medium">
        <color theme="4" tint="0.79995117038483843"/>
      </top>
      <bottom style="medium">
        <color theme="4" tint="0.79995117038483843"/>
      </bottom>
      <diagonal/>
    </border>
    <border>
      <left style="medium">
        <color theme="4" tint="0.79995117038483843"/>
      </left>
      <right style="medium">
        <color theme="4" tint="0.79995117038483843"/>
      </right>
      <top style="medium">
        <color theme="4" tint="0.79995117038483843"/>
      </top>
      <bottom style="medium">
        <color theme="4" tint="0.79995117038483843"/>
      </bottom>
      <diagonal/>
    </border>
    <border>
      <left style="medium">
        <color theme="4" tint="0.39994506668294322"/>
      </left>
      <right/>
      <top/>
      <bottom/>
      <diagonal/>
    </border>
    <border>
      <left/>
      <right style="medium">
        <color theme="4" tint="0.39994506668294322"/>
      </right>
      <top/>
      <bottom/>
      <diagonal/>
    </border>
    <border>
      <left style="medium">
        <color theme="4" tint="0.39994506668294322"/>
      </left>
      <right style="thin">
        <color theme="0" tint="-0.34998626667073579"/>
      </right>
      <top/>
      <bottom/>
      <diagonal/>
    </border>
    <border>
      <left style="thin">
        <color theme="0" tint="-0.34998626667073579"/>
      </left>
      <right style="thin">
        <color theme="0" tint="-0.34998626667073579"/>
      </right>
      <top/>
      <bottom/>
      <diagonal/>
    </border>
    <border>
      <left style="thin">
        <color theme="0" tint="-0.34998626667073579"/>
      </left>
      <right style="medium">
        <color theme="4" tint="0.39994506668294322"/>
      </right>
      <top/>
      <bottom/>
      <diagonal/>
    </border>
    <border>
      <left/>
      <right/>
      <top style="thin">
        <color theme="0" tint="-0.34998626667073579"/>
      </top>
      <bottom style="thin">
        <color theme="0" tint="-0.34998626667073579"/>
      </bottom>
      <diagonal/>
    </border>
    <border>
      <left style="medium">
        <color theme="0" tint="-0.34998626667073579"/>
      </left>
      <right style="thin">
        <color theme="0" tint="-0.34998626667073579"/>
      </right>
      <top/>
      <bottom/>
      <diagonal/>
    </border>
    <border>
      <left style="thin">
        <color theme="0" tint="-0.34998626667073579"/>
      </left>
      <right style="medium">
        <color theme="0" tint="-0.34998626667073579"/>
      </right>
      <top/>
      <bottom/>
      <diagonal/>
    </border>
    <border>
      <left/>
      <right style="thin">
        <color theme="0" tint="-0.34998626667073579"/>
      </right>
      <top/>
      <bottom/>
      <diagonal/>
    </border>
    <border>
      <left style="thin">
        <color theme="0" tint="-0.34998626667073579"/>
      </left>
      <right/>
      <top/>
      <bottom/>
      <diagonal/>
    </border>
  </borders>
  <cellStyleXfs count="2">
    <xf numFmtId="0" fontId="0" fillId="0" borderId="0">
      <alignment vertical="center"/>
    </xf>
    <xf numFmtId="0" fontId="12" fillId="0" borderId="0" applyNumberFormat="0" applyFill="0" applyBorder="0" applyAlignment="0" applyProtection="0">
      <alignment vertical="top"/>
      <protection locked="0"/>
    </xf>
  </cellStyleXfs>
  <cellXfs count="59">
    <xf numFmtId="0" fontId="0" fillId="0" borderId="0" xfId="0">
      <alignment vertical="center"/>
    </xf>
    <xf numFmtId="0" fontId="1" fillId="0" borderId="0" xfId="0" applyFont="1">
      <alignment vertical="center"/>
    </xf>
    <xf numFmtId="0" fontId="10" fillId="4" borderId="0" xfId="0" applyFont="1" applyFill="1" applyAlignment="1"/>
    <xf numFmtId="0" fontId="11" fillId="4" borderId="0" xfId="0" applyFont="1" applyFill="1" applyProtection="1">
      <alignment vertical="center"/>
      <protection locked="0"/>
    </xf>
    <xf numFmtId="0" fontId="13" fillId="4" borderId="0" xfId="1" applyNumberFormat="1" applyFont="1" applyFill="1" applyBorder="1" applyAlignment="1" applyProtection="1">
      <alignment horizontal="right" vertical="center"/>
      <protection locked="0"/>
    </xf>
    <xf numFmtId="0" fontId="14" fillId="4" borderId="0" xfId="0" applyFont="1" applyFill="1" applyProtection="1">
      <alignment vertical="center"/>
      <protection locked="0"/>
    </xf>
    <xf numFmtId="0" fontId="15" fillId="4" borderId="0" xfId="0" applyFont="1" applyFill="1">
      <alignment vertical="center"/>
    </xf>
    <xf numFmtId="0" fontId="16" fillId="4" borderId="0" xfId="0" applyFont="1" applyFill="1" applyAlignment="1"/>
    <xf numFmtId="0" fontId="17" fillId="4" borderId="0" xfId="0" applyFont="1" applyFill="1" applyAlignment="1">
      <alignment horizontal="right" vertical="center" indent="1"/>
    </xf>
    <xf numFmtId="0" fontId="16" fillId="4" borderId="0" xfId="0" applyFont="1" applyFill="1" applyAlignment="1">
      <alignment horizontal="right"/>
    </xf>
    <xf numFmtId="0" fontId="17" fillId="5" borderId="4" xfId="0" applyFont="1" applyFill="1" applyBorder="1" applyAlignment="1" applyProtection="1">
      <alignment horizontal="center" vertical="center"/>
      <protection locked="0"/>
    </xf>
    <xf numFmtId="0" fontId="18" fillId="4" borderId="0" xfId="0" applyFont="1" applyFill="1">
      <alignment vertical="center"/>
    </xf>
    <xf numFmtId="0" fontId="19" fillId="4" borderId="0" xfId="0" applyFont="1" applyFill="1">
      <alignment vertical="center"/>
    </xf>
    <xf numFmtId="0" fontId="20" fillId="4" borderId="0" xfId="0" applyFont="1" applyFill="1" applyAlignment="1"/>
    <xf numFmtId="0" fontId="21" fillId="6" borderId="0" xfId="0" applyFont="1" applyFill="1" applyAlignment="1" applyProtection="1">
      <alignment horizontal="left" vertical="center" indent="1"/>
      <protection locked="0"/>
    </xf>
    <xf numFmtId="0" fontId="22" fillId="6" borderId="0" xfId="0" applyFont="1" applyFill="1" applyProtection="1">
      <alignment vertical="center"/>
      <protection locked="0"/>
    </xf>
    <xf numFmtId="0" fontId="23" fillId="6" borderId="0" xfId="0" applyFont="1" applyFill="1" applyAlignment="1">
      <alignment horizontal="center" vertical="center"/>
    </xf>
    <xf numFmtId="0" fontId="23" fillId="6" borderId="0" xfId="0" applyFont="1" applyFill="1" applyAlignment="1"/>
    <xf numFmtId="0" fontId="24" fillId="6" borderId="0" xfId="0" applyFont="1" applyFill="1">
      <alignment vertical="center"/>
    </xf>
    <xf numFmtId="0" fontId="26" fillId="4" borderId="5" xfId="0" applyFont="1" applyFill="1" applyBorder="1">
      <alignment vertical="center"/>
    </xf>
    <xf numFmtId="0" fontId="26" fillId="4" borderId="0" xfId="0" applyFont="1" applyFill="1">
      <alignment vertical="center"/>
    </xf>
    <xf numFmtId="0" fontId="26" fillId="4" borderId="6" xfId="0" applyFont="1" applyFill="1" applyBorder="1">
      <alignment vertical="center"/>
    </xf>
    <xf numFmtId="178" fontId="28" fillId="4" borderId="7" xfId="0" applyNumberFormat="1" applyFont="1" applyFill="1" applyBorder="1" applyAlignment="1">
      <alignment horizontal="center" vertical="center" shrinkToFit="1"/>
    </xf>
    <xf numFmtId="178" fontId="28" fillId="4" borderId="8" xfId="0" applyNumberFormat="1" applyFont="1" applyFill="1" applyBorder="1" applyAlignment="1">
      <alignment horizontal="center" vertical="center" shrinkToFit="1"/>
    </xf>
    <xf numFmtId="0" fontId="30" fillId="8" borderId="0" xfId="0" applyFont="1" applyFill="1" applyAlignment="1">
      <alignment horizontal="left" vertical="center"/>
    </xf>
    <xf numFmtId="0" fontId="30" fillId="8" borderId="0" xfId="0" applyFont="1" applyFill="1" applyAlignment="1">
      <alignment horizontal="center" vertical="center" wrapText="1"/>
    </xf>
    <xf numFmtId="0" fontId="30" fillId="8" borderId="0" xfId="0" applyFont="1" applyFill="1" applyAlignment="1">
      <alignment horizontal="center" vertical="center"/>
    </xf>
    <xf numFmtId="0" fontId="29" fillId="8" borderId="0" xfId="0" applyFont="1" applyFill="1" applyAlignment="1">
      <alignment horizontal="center" vertical="center" wrapText="1"/>
    </xf>
    <xf numFmtId="0" fontId="29" fillId="7" borderId="11" xfId="0" applyFont="1" applyFill="1" applyBorder="1" applyAlignment="1">
      <alignment horizontal="center" vertical="center" shrinkToFit="1"/>
    </xf>
    <xf numFmtId="0" fontId="29" fillId="7" borderId="8" xfId="0" applyFont="1" applyFill="1" applyBorder="1" applyAlignment="1">
      <alignment horizontal="center" vertical="center" shrinkToFit="1"/>
    </xf>
    <xf numFmtId="0" fontId="29" fillId="7" borderId="12" xfId="0" applyFont="1" applyFill="1" applyBorder="1" applyAlignment="1">
      <alignment horizontal="center" vertical="center" shrinkToFit="1"/>
    </xf>
    <xf numFmtId="0" fontId="29" fillId="7" borderId="13" xfId="0" applyFont="1" applyFill="1" applyBorder="1" applyAlignment="1">
      <alignment horizontal="center" vertical="center" shrinkToFit="1"/>
    </xf>
    <xf numFmtId="0" fontId="29" fillId="7" borderId="14" xfId="0" applyFont="1" applyFill="1" applyBorder="1" applyAlignment="1">
      <alignment horizontal="center" vertical="center" shrinkToFit="1"/>
    </xf>
    <xf numFmtId="0" fontId="2" fillId="2" borderId="10" xfId="0" applyFont="1" applyFill="1" applyBorder="1" applyAlignment="1">
      <alignment horizontal="left" vertical="center"/>
    </xf>
    <xf numFmtId="0" fontId="4" fillId="2" borderId="10" xfId="0" applyFont="1" applyFill="1" applyBorder="1" applyAlignment="1">
      <alignment horizontal="left" vertical="center"/>
    </xf>
    <xf numFmtId="0" fontId="6" fillId="2" borderId="10" xfId="0" applyFont="1" applyFill="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7" fillId="3" borderId="10" xfId="0" applyFont="1" applyFill="1" applyBorder="1" applyAlignment="1">
      <alignment horizontal="left" vertical="center"/>
    </xf>
    <xf numFmtId="0" fontId="6" fillId="0" borderId="10" xfId="0" applyFont="1" applyBorder="1" applyAlignment="1">
      <alignment horizontal="left" vertical="center"/>
    </xf>
    <xf numFmtId="0" fontId="6" fillId="0" borderId="10" xfId="0" applyFont="1" applyBorder="1">
      <alignment vertical="center"/>
    </xf>
    <xf numFmtId="0" fontId="1" fillId="0" borderId="10" xfId="0" applyFont="1" applyBorder="1">
      <alignment vertical="center"/>
    </xf>
    <xf numFmtId="179"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79" fontId="1" fillId="3" borderId="10" xfId="0" applyNumberFormat="1" applyFont="1" applyFill="1" applyBorder="1" applyAlignment="1">
      <alignment horizontal="center" vertical="center"/>
    </xf>
    <xf numFmtId="9" fontId="1" fillId="3" borderId="10" xfId="0" applyNumberFormat="1" applyFont="1" applyFill="1" applyBorder="1" applyAlignment="1">
      <alignment horizontal="center" vertical="center"/>
    </xf>
    <xf numFmtId="180" fontId="17" fillId="5" borderId="1" xfId="0" applyNumberFormat="1" applyFont="1" applyFill="1" applyBorder="1" applyAlignment="1" applyProtection="1">
      <alignment horizontal="center" vertical="center" shrinkToFit="1"/>
      <protection locked="0"/>
    </xf>
    <xf numFmtId="180" fontId="17" fillId="5" borderId="2" xfId="0" applyNumberFormat="1" applyFont="1" applyFill="1" applyBorder="1" applyAlignment="1" applyProtection="1">
      <alignment horizontal="center" vertical="center" shrinkToFit="1"/>
      <protection locked="0"/>
    </xf>
    <xf numFmtId="180" fontId="17" fillId="5" borderId="3" xfId="0" applyNumberFormat="1" applyFont="1" applyFill="1" applyBorder="1" applyAlignment="1" applyProtection="1">
      <alignment horizontal="center" vertical="center" shrinkToFit="1"/>
      <protection locked="0"/>
    </xf>
    <xf numFmtId="176" fontId="17" fillId="5" borderId="1" xfId="0" applyNumberFormat="1" applyFont="1" applyFill="1" applyBorder="1" applyAlignment="1" applyProtection="1">
      <alignment horizontal="center" vertical="center" shrinkToFit="1"/>
      <protection locked="0"/>
    </xf>
    <xf numFmtId="176" fontId="17" fillId="5" borderId="2" xfId="0" applyNumberFormat="1" applyFont="1" applyFill="1" applyBorder="1" applyAlignment="1" applyProtection="1">
      <alignment horizontal="center" vertical="center" shrinkToFit="1"/>
      <protection locked="0"/>
    </xf>
    <xf numFmtId="176" fontId="17" fillId="5" borderId="3" xfId="0" applyNumberFormat="1" applyFont="1" applyFill="1" applyBorder="1" applyAlignment="1" applyProtection="1">
      <alignment horizontal="center" vertical="center" shrinkToFit="1"/>
      <protection locked="0"/>
    </xf>
    <xf numFmtId="0" fontId="25" fillId="6" borderId="0" xfId="1" applyFont="1" applyFill="1" applyAlignment="1" applyProtection="1">
      <alignment horizontal="left" vertical="center"/>
    </xf>
    <xf numFmtId="0" fontId="17" fillId="4" borderId="5" xfId="0" applyFont="1" applyFill="1" applyBorder="1" applyAlignment="1">
      <alignment horizontal="center" vertical="center"/>
    </xf>
    <xf numFmtId="0" fontId="17" fillId="4" borderId="0" xfId="0" applyFont="1" applyFill="1" applyAlignment="1">
      <alignment horizontal="center" vertical="center"/>
    </xf>
    <xf numFmtId="0" fontId="17" fillId="4" borderId="6" xfId="0" applyFont="1" applyFill="1" applyBorder="1" applyAlignment="1">
      <alignment horizontal="center" vertical="center"/>
    </xf>
    <xf numFmtId="177" fontId="27" fillId="4" borderId="7" xfId="0" applyNumberFormat="1" applyFont="1" applyFill="1" applyBorder="1" applyAlignment="1">
      <alignment horizontal="center" vertical="center"/>
    </xf>
    <xf numFmtId="177" fontId="27" fillId="4" borderId="8" xfId="0" applyNumberFormat="1" applyFont="1" applyFill="1" applyBorder="1" applyAlignment="1">
      <alignment horizontal="center" vertical="center"/>
    </xf>
    <xf numFmtId="177" fontId="27" fillId="4" borderId="9" xfId="0" applyNumberFormat="1" applyFont="1" applyFill="1" applyBorder="1" applyAlignment="1">
      <alignment horizontal="center" vertical="center"/>
    </xf>
  </cellXfs>
  <cellStyles count="2">
    <cellStyle name="Hyperlink" xfId="1" builtinId="8"/>
    <cellStyle name="Normal" xfId="0" builtinId="0"/>
  </cellStyles>
  <dxfs count="3">
    <dxf>
      <fill>
        <patternFill>
          <bgColor rgb="FFFAC9FF"/>
        </patternFill>
      </fill>
    </dxf>
    <dxf>
      <border>
        <left style="thin">
          <color theme="9" tint="-0.24994659260841701"/>
        </left>
        <right style="thin">
          <color theme="9" tint="-0.24994659260841701"/>
        </right>
        <vertical/>
        <horizontal/>
      </border>
    </dxf>
    <dxf>
      <font>
        <color theme="0"/>
      </font>
      <fill>
        <patternFill>
          <bgColor theme="9" tint="-0.24994659260841701"/>
        </patternFill>
      </fill>
    </dxf>
  </dxfs>
  <tableStyles count="0" defaultTableStyle="TableStyleMedium2" defaultPivotStyle="PivotStyleLight16"/>
  <colors>
    <mruColors>
      <color rgb="FFFAC9FF"/>
      <color rgb="FFF3D1E8"/>
      <color rgb="FFBE548C"/>
      <color rgb="FFEEBCDD"/>
      <color rgb="FFCC3399"/>
      <color rgb="FFEB2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624F-FCA3-4DA2-BB74-F73F32ABCA61}">
  <dimension ref="A1:BF20"/>
  <sheetViews>
    <sheetView showGridLines="0" tabSelected="1" zoomScaleNormal="100" zoomScaleSheetLayoutView="100" workbookViewId="0">
      <selection activeCell="H4" sqref="H4"/>
    </sheetView>
  </sheetViews>
  <sheetFormatPr defaultRowHeight="12"/>
  <cols>
    <col min="1" max="1" width="5.75" style="1" customWidth="1"/>
    <col min="2" max="2" width="21.1640625" style="1" customWidth="1"/>
    <col min="3" max="3" width="7.75" style="1" customWidth="1"/>
    <col min="4" max="4" width="11.9140625" style="1" hidden="1" customWidth="1"/>
    <col min="5" max="6" width="11.9140625" style="1" customWidth="1"/>
    <col min="7" max="7" width="5.9140625" style="1" customWidth="1"/>
    <col min="8" max="8" width="5.75" style="1" customWidth="1"/>
    <col min="9" max="9" width="1.4140625" style="1" customWidth="1"/>
    <col min="10" max="58" width="2.4140625" style="1" customWidth="1"/>
    <col min="59" max="16384" width="8.6640625" style="1"/>
  </cols>
  <sheetData>
    <row r="1" spans="1:58" ht="33" customHeight="1">
      <c r="A1" s="14" t="s">
        <v>15</v>
      </c>
      <c r="B1" s="15"/>
      <c r="C1" s="15"/>
      <c r="D1" s="15"/>
      <c r="E1" s="15"/>
      <c r="F1" s="15"/>
      <c r="G1" s="16"/>
      <c r="H1" s="17"/>
      <c r="I1" s="17"/>
      <c r="J1" s="18" t="s">
        <v>16</v>
      </c>
      <c r="K1" s="17"/>
      <c r="L1" s="17"/>
      <c r="M1" s="17"/>
      <c r="N1" s="17"/>
      <c r="O1" s="17"/>
      <c r="P1" s="17"/>
      <c r="Q1" s="17"/>
      <c r="R1" s="17"/>
      <c r="S1" s="17"/>
      <c r="T1" s="17"/>
      <c r="U1" s="17"/>
      <c r="V1" s="17"/>
      <c r="W1" s="17"/>
      <c r="X1" s="17"/>
      <c r="Y1" s="17"/>
      <c r="Z1" s="17"/>
      <c r="AA1" s="17"/>
      <c r="AB1" s="17"/>
      <c r="AC1" s="52"/>
      <c r="AD1" s="52"/>
      <c r="AE1" s="52"/>
      <c r="AF1" s="52"/>
      <c r="AG1" s="52"/>
      <c r="AH1" s="52"/>
      <c r="AI1" s="52"/>
      <c r="AJ1" s="52"/>
      <c r="AK1" s="52"/>
      <c r="AL1" s="52"/>
      <c r="AM1" s="52"/>
      <c r="AN1" s="52"/>
      <c r="AO1" s="52"/>
      <c r="AP1" s="52"/>
      <c r="AQ1" s="52"/>
      <c r="AR1" s="17"/>
      <c r="AS1" s="17"/>
      <c r="AT1" s="17"/>
      <c r="AU1" s="17"/>
      <c r="AV1" s="17"/>
      <c r="AW1" s="17"/>
      <c r="AX1" s="17"/>
      <c r="AY1" s="17"/>
      <c r="AZ1" s="17"/>
      <c r="BA1" s="17"/>
      <c r="BB1" s="17"/>
      <c r="BC1" s="17"/>
      <c r="BD1" s="17"/>
      <c r="BE1" s="17"/>
      <c r="BF1" s="17"/>
    </row>
    <row r="2" spans="1:58" ht="6.75" customHeight="1" thickBot="1">
      <c r="A2" s="2"/>
      <c r="B2" s="3"/>
      <c r="C2" s="3"/>
      <c r="D2" s="4"/>
      <c r="E2" s="3"/>
      <c r="F2" s="5"/>
      <c r="G2" s="6"/>
      <c r="H2" s="6"/>
      <c r="I2" s="6"/>
      <c r="J2" s="19"/>
      <c r="K2" s="20"/>
      <c r="L2" s="20"/>
      <c r="M2" s="20"/>
      <c r="N2" s="20"/>
      <c r="O2" s="20"/>
      <c r="P2" s="21"/>
      <c r="Q2" s="19"/>
      <c r="R2" s="20"/>
      <c r="S2" s="20"/>
      <c r="T2" s="20"/>
      <c r="U2" s="20"/>
      <c r="V2" s="20"/>
      <c r="W2" s="21"/>
      <c r="X2" s="19"/>
      <c r="Y2" s="20"/>
      <c r="Z2" s="20"/>
      <c r="AA2" s="20"/>
      <c r="AB2" s="20"/>
      <c r="AC2" s="20"/>
      <c r="AD2" s="21"/>
      <c r="AE2" s="19"/>
      <c r="AF2" s="20"/>
      <c r="AG2" s="20"/>
      <c r="AH2" s="20"/>
      <c r="AI2" s="20"/>
      <c r="AJ2" s="20"/>
      <c r="AK2" s="21"/>
      <c r="AL2" s="19"/>
      <c r="AM2" s="20"/>
      <c r="AN2" s="20"/>
      <c r="AO2" s="20"/>
      <c r="AP2" s="20"/>
      <c r="AQ2" s="20"/>
      <c r="AR2" s="21"/>
      <c r="AS2" s="19"/>
      <c r="AT2" s="20"/>
      <c r="AU2" s="20"/>
      <c r="AV2" s="20"/>
      <c r="AW2" s="20"/>
      <c r="AX2" s="20"/>
      <c r="AY2" s="21"/>
      <c r="AZ2" s="19"/>
      <c r="BA2" s="20"/>
      <c r="BB2" s="20"/>
      <c r="BC2" s="20"/>
      <c r="BD2" s="20"/>
      <c r="BE2" s="20"/>
      <c r="BF2" s="21"/>
    </row>
    <row r="3" spans="1:58" ht="19.5" customHeight="1" thickBot="1">
      <c r="A3" s="7"/>
      <c r="B3" s="8" t="s">
        <v>11</v>
      </c>
      <c r="C3" s="46">
        <v>45002</v>
      </c>
      <c r="D3" s="47"/>
      <c r="E3" s="48"/>
      <c r="F3" s="7"/>
      <c r="G3" s="9" t="s">
        <v>12</v>
      </c>
      <c r="H3" s="10">
        <v>8</v>
      </c>
      <c r="I3" s="7"/>
      <c r="J3" s="53" t="str">
        <f>"Week "&amp;(J5-($C$3-WEEKDAY($C$3,1)+2))/7+1</f>
        <v>Week 8</v>
      </c>
      <c r="K3" s="54"/>
      <c r="L3" s="54"/>
      <c r="M3" s="54"/>
      <c r="N3" s="54"/>
      <c r="O3" s="54"/>
      <c r="P3" s="55"/>
      <c r="Q3" s="53" t="str">
        <f t="shared" ref="Q3" si="0">"Week "&amp;(Q5-($C$3-WEEKDAY($C$3,1)+2))/7+1</f>
        <v>Week 9</v>
      </c>
      <c r="R3" s="54"/>
      <c r="S3" s="54"/>
      <c r="T3" s="54"/>
      <c r="U3" s="54"/>
      <c r="V3" s="54"/>
      <c r="W3" s="55"/>
      <c r="X3" s="53" t="str">
        <f t="shared" ref="X3" si="1">"Week "&amp;(X5-($C$3-WEEKDAY($C$3,1)+2))/7+1</f>
        <v>Week 10</v>
      </c>
      <c r="Y3" s="54"/>
      <c r="Z3" s="54"/>
      <c r="AA3" s="54"/>
      <c r="AB3" s="54"/>
      <c r="AC3" s="54"/>
      <c r="AD3" s="55"/>
      <c r="AE3" s="53" t="str">
        <f t="shared" ref="AE3" si="2">"Week "&amp;(AE5-($C$3-WEEKDAY($C$3,1)+2))/7+1</f>
        <v>Week 11</v>
      </c>
      <c r="AF3" s="54"/>
      <c r="AG3" s="54"/>
      <c r="AH3" s="54"/>
      <c r="AI3" s="54"/>
      <c r="AJ3" s="54"/>
      <c r="AK3" s="55"/>
      <c r="AL3" s="53" t="str">
        <f t="shared" ref="AL3" si="3">"Week "&amp;(AL5-($C$3-WEEKDAY($C$3,1)+2))/7+1</f>
        <v>Week 12</v>
      </c>
      <c r="AM3" s="54"/>
      <c r="AN3" s="54"/>
      <c r="AO3" s="54"/>
      <c r="AP3" s="54"/>
      <c r="AQ3" s="54"/>
      <c r="AR3" s="55"/>
      <c r="AS3" s="53" t="str">
        <f t="shared" ref="AS3" si="4">"Week "&amp;(AS5-($C$3-WEEKDAY($C$3,1)+2))/7+1</f>
        <v>Week 13</v>
      </c>
      <c r="AT3" s="54"/>
      <c r="AU3" s="54"/>
      <c r="AV3" s="54"/>
      <c r="AW3" s="54"/>
      <c r="AX3" s="54"/>
      <c r="AY3" s="55"/>
      <c r="AZ3" s="53" t="str">
        <f t="shared" ref="AZ3" si="5">"Week "&amp;(AZ5-($C$3-WEEKDAY($C$3,1)+2))/7+1</f>
        <v>Week 14</v>
      </c>
      <c r="BA3" s="54"/>
      <c r="BB3" s="54"/>
      <c r="BC3" s="54"/>
      <c r="BD3" s="54"/>
      <c r="BE3" s="54"/>
      <c r="BF3" s="55"/>
    </row>
    <row r="4" spans="1:58" ht="19.5" customHeight="1" thickBot="1">
      <c r="A4" s="11"/>
      <c r="B4" s="8" t="s">
        <v>13</v>
      </c>
      <c r="C4" s="49" t="s">
        <v>14</v>
      </c>
      <c r="D4" s="50"/>
      <c r="E4" s="51"/>
      <c r="F4" s="11"/>
      <c r="G4" s="11"/>
      <c r="H4" s="11"/>
      <c r="I4" s="12"/>
      <c r="J4" s="56">
        <f>J5</f>
        <v>45047</v>
      </c>
      <c r="K4" s="57"/>
      <c r="L4" s="57"/>
      <c r="M4" s="57"/>
      <c r="N4" s="57"/>
      <c r="O4" s="57"/>
      <c r="P4" s="58"/>
      <c r="Q4" s="56">
        <f>Q5</f>
        <v>45054</v>
      </c>
      <c r="R4" s="57"/>
      <c r="S4" s="57"/>
      <c r="T4" s="57"/>
      <c r="U4" s="57"/>
      <c r="V4" s="57"/>
      <c r="W4" s="58"/>
      <c r="X4" s="56">
        <f t="shared" ref="X4" si="6">X5</f>
        <v>45061</v>
      </c>
      <c r="Y4" s="57"/>
      <c r="Z4" s="57"/>
      <c r="AA4" s="57"/>
      <c r="AB4" s="57"/>
      <c r="AC4" s="57"/>
      <c r="AD4" s="58"/>
      <c r="AE4" s="56">
        <f t="shared" ref="AE4" si="7">AE5</f>
        <v>45068</v>
      </c>
      <c r="AF4" s="57"/>
      <c r="AG4" s="57"/>
      <c r="AH4" s="57"/>
      <c r="AI4" s="57"/>
      <c r="AJ4" s="57"/>
      <c r="AK4" s="58"/>
      <c r="AL4" s="56">
        <f t="shared" ref="AL4" si="8">AL5</f>
        <v>45075</v>
      </c>
      <c r="AM4" s="57"/>
      <c r="AN4" s="57"/>
      <c r="AO4" s="57"/>
      <c r="AP4" s="57"/>
      <c r="AQ4" s="57"/>
      <c r="AR4" s="58"/>
      <c r="AS4" s="56">
        <f>AS5</f>
        <v>45082</v>
      </c>
      <c r="AT4" s="57"/>
      <c r="AU4" s="57"/>
      <c r="AV4" s="57"/>
      <c r="AW4" s="57"/>
      <c r="AX4" s="57"/>
      <c r="AY4" s="58"/>
      <c r="AZ4" s="56">
        <f>AZ5</f>
        <v>45089</v>
      </c>
      <c r="BA4" s="57"/>
      <c r="BB4" s="57"/>
      <c r="BC4" s="57"/>
      <c r="BD4" s="57"/>
      <c r="BE4" s="57"/>
      <c r="BF4" s="58"/>
    </row>
    <row r="5" spans="1:58" ht="14.25" customHeight="1">
      <c r="A5" s="13"/>
      <c r="B5" s="13"/>
      <c r="C5" s="13"/>
      <c r="D5" s="13"/>
      <c r="E5" s="13"/>
      <c r="F5" s="13"/>
      <c r="G5" s="13"/>
      <c r="H5" s="13"/>
      <c r="I5" s="13"/>
      <c r="J5" s="22">
        <f>$C$3-WEEKDAY(project_start,3)+(display_week-1)*7</f>
        <v>45047</v>
      </c>
      <c r="K5" s="23">
        <f>J5+1</f>
        <v>45048</v>
      </c>
      <c r="L5" s="23">
        <f t="shared" ref="L5:BF5" si="9">K5+1</f>
        <v>45049</v>
      </c>
      <c r="M5" s="23">
        <f t="shared" si="9"/>
        <v>45050</v>
      </c>
      <c r="N5" s="23">
        <f t="shared" si="9"/>
        <v>45051</v>
      </c>
      <c r="O5" s="23">
        <f t="shared" si="9"/>
        <v>45052</v>
      </c>
      <c r="P5" s="23">
        <f t="shared" si="9"/>
        <v>45053</v>
      </c>
      <c r="Q5" s="23">
        <f t="shared" si="9"/>
        <v>45054</v>
      </c>
      <c r="R5" s="23">
        <f t="shared" si="9"/>
        <v>45055</v>
      </c>
      <c r="S5" s="23">
        <f t="shared" si="9"/>
        <v>45056</v>
      </c>
      <c r="T5" s="23">
        <f t="shared" si="9"/>
        <v>45057</v>
      </c>
      <c r="U5" s="23">
        <f t="shared" si="9"/>
        <v>45058</v>
      </c>
      <c r="V5" s="23">
        <f t="shared" si="9"/>
        <v>45059</v>
      </c>
      <c r="W5" s="23">
        <f t="shared" si="9"/>
        <v>45060</v>
      </c>
      <c r="X5" s="23">
        <f t="shared" si="9"/>
        <v>45061</v>
      </c>
      <c r="Y5" s="23">
        <f t="shared" si="9"/>
        <v>45062</v>
      </c>
      <c r="Z5" s="23">
        <f t="shared" si="9"/>
        <v>45063</v>
      </c>
      <c r="AA5" s="23">
        <f t="shared" si="9"/>
        <v>45064</v>
      </c>
      <c r="AB5" s="23">
        <f t="shared" si="9"/>
        <v>45065</v>
      </c>
      <c r="AC5" s="23">
        <f t="shared" si="9"/>
        <v>45066</v>
      </c>
      <c r="AD5" s="23">
        <f t="shared" si="9"/>
        <v>45067</v>
      </c>
      <c r="AE5" s="23">
        <f t="shared" si="9"/>
        <v>45068</v>
      </c>
      <c r="AF5" s="23">
        <f t="shared" si="9"/>
        <v>45069</v>
      </c>
      <c r="AG5" s="23">
        <f t="shared" si="9"/>
        <v>45070</v>
      </c>
      <c r="AH5" s="23">
        <f t="shared" si="9"/>
        <v>45071</v>
      </c>
      <c r="AI5" s="23">
        <f t="shared" si="9"/>
        <v>45072</v>
      </c>
      <c r="AJ5" s="23">
        <f t="shared" si="9"/>
        <v>45073</v>
      </c>
      <c r="AK5" s="23">
        <f t="shared" si="9"/>
        <v>45074</v>
      </c>
      <c r="AL5" s="23">
        <f t="shared" si="9"/>
        <v>45075</v>
      </c>
      <c r="AM5" s="23">
        <f t="shared" si="9"/>
        <v>45076</v>
      </c>
      <c r="AN5" s="23">
        <f t="shared" si="9"/>
        <v>45077</v>
      </c>
      <c r="AO5" s="23">
        <f t="shared" si="9"/>
        <v>45078</v>
      </c>
      <c r="AP5" s="23">
        <f t="shared" si="9"/>
        <v>45079</v>
      </c>
      <c r="AQ5" s="23">
        <f t="shared" si="9"/>
        <v>45080</v>
      </c>
      <c r="AR5" s="23">
        <f t="shared" si="9"/>
        <v>45081</v>
      </c>
      <c r="AS5" s="23">
        <f>AR5+1</f>
        <v>45082</v>
      </c>
      <c r="AT5" s="23">
        <f t="shared" si="9"/>
        <v>45083</v>
      </c>
      <c r="AU5" s="23">
        <f t="shared" si="9"/>
        <v>45084</v>
      </c>
      <c r="AV5" s="23">
        <f t="shared" si="9"/>
        <v>45085</v>
      </c>
      <c r="AW5" s="23">
        <f t="shared" si="9"/>
        <v>45086</v>
      </c>
      <c r="AX5" s="23">
        <f t="shared" si="9"/>
        <v>45087</v>
      </c>
      <c r="AY5" s="23">
        <f t="shared" si="9"/>
        <v>45088</v>
      </c>
      <c r="AZ5" s="23">
        <f t="shared" si="9"/>
        <v>45089</v>
      </c>
      <c r="BA5" s="23">
        <f t="shared" si="9"/>
        <v>45090</v>
      </c>
      <c r="BB5" s="23">
        <f t="shared" si="9"/>
        <v>45091</v>
      </c>
      <c r="BC5" s="23">
        <f t="shared" si="9"/>
        <v>45092</v>
      </c>
      <c r="BD5" s="23">
        <f t="shared" si="9"/>
        <v>45093</v>
      </c>
      <c r="BE5" s="23">
        <f t="shared" si="9"/>
        <v>45094</v>
      </c>
      <c r="BF5" s="23">
        <f t="shared" si="9"/>
        <v>45095</v>
      </c>
    </row>
    <row r="6" spans="1:58" ht="30" customHeight="1">
      <c r="A6" s="24" t="s">
        <v>10</v>
      </c>
      <c r="B6" s="24" t="s">
        <v>18</v>
      </c>
      <c r="C6" s="25"/>
      <c r="D6" s="25" t="s">
        <v>19</v>
      </c>
      <c r="E6" s="26" t="s">
        <v>20</v>
      </c>
      <c r="F6" s="26" t="s">
        <v>21</v>
      </c>
      <c r="G6" s="25" t="s">
        <v>17</v>
      </c>
      <c r="H6" s="25" t="s">
        <v>26</v>
      </c>
      <c r="I6" s="27"/>
      <c r="J6" s="28" t="str">
        <f t="shared" ref="J6:BF6" si="10">CHOOSE(WEEKDAY(J5,1),"S","M","T","W","T","F","S")</f>
        <v>M</v>
      </c>
      <c r="K6" s="29" t="str">
        <f t="shared" si="10"/>
        <v>T</v>
      </c>
      <c r="L6" s="29" t="str">
        <f t="shared" si="10"/>
        <v>W</v>
      </c>
      <c r="M6" s="29" t="str">
        <f t="shared" si="10"/>
        <v>T</v>
      </c>
      <c r="N6" s="29" t="str">
        <f t="shared" si="10"/>
        <v>F</v>
      </c>
      <c r="O6" s="29" t="str">
        <f t="shared" si="10"/>
        <v>S</v>
      </c>
      <c r="P6" s="30" t="str">
        <f t="shared" si="10"/>
        <v>S</v>
      </c>
      <c r="Q6" s="28" t="str">
        <f t="shared" si="10"/>
        <v>M</v>
      </c>
      <c r="R6" s="29" t="str">
        <f t="shared" si="10"/>
        <v>T</v>
      </c>
      <c r="S6" s="29" t="str">
        <f t="shared" si="10"/>
        <v>W</v>
      </c>
      <c r="T6" s="29" t="str">
        <f t="shared" si="10"/>
        <v>T</v>
      </c>
      <c r="U6" s="29" t="str">
        <f t="shared" si="10"/>
        <v>F</v>
      </c>
      <c r="V6" s="29" t="str">
        <f t="shared" si="10"/>
        <v>S</v>
      </c>
      <c r="W6" s="30" t="str">
        <f t="shared" si="10"/>
        <v>S</v>
      </c>
      <c r="X6" s="31" t="str">
        <f t="shared" si="10"/>
        <v>M</v>
      </c>
      <c r="Y6" s="29" t="str">
        <f t="shared" si="10"/>
        <v>T</v>
      </c>
      <c r="Z6" s="29" t="str">
        <f t="shared" si="10"/>
        <v>W</v>
      </c>
      <c r="AA6" s="29" t="str">
        <f t="shared" si="10"/>
        <v>T</v>
      </c>
      <c r="AB6" s="29" t="str">
        <f t="shared" si="10"/>
        <v>F</v>
      </c>
      <c r="AC6" s="29" t="str">
        <f t="shared" si="10"/>
        <v>S</v>
      </c>
      <c r="AD6" s="32" t="str">
        <f t="shared" si="10"/>
        <v>S</v>
      </c>
      <c r="AE6" s="28" t="str">
        <f t="shared" si="10"/>
        <v>M</v>
      </c>
      <c r="AF6" s="29" t="str">
        <f t="shared" si="10"/>
        <v>T</v>
      </c>
      <c r="AG6" s="29" t="str">
        <f t="shared" si="10"/>
        <v>W</v>
      </c>
      <c r="AH6" s="29" t="str">
        <f t="shared" si="10"/>
        <v>T</v>
      </c>
      <c r="AI6" s="29" t="str">
        <f t="shared" si="10"/>
        <v>F</v>
      </c>
      <c r="AJ6" s="29" t="str">
        <f t="shared" si="10"/>
        <v>S</v>
      </c>
      <c r="AK6" s="30" t="str">
        <f t="shared" si="10"/>
        <v>S</v>
      </c>
      <c r="AL6" s="28" t="str">
        <f t="shared" si="10"/>
        <v>M</v>
      </c>
      <c r="AM6" s="29" t="str">
        <f t="shared" si="10"/>
        <v>T</v>
      </c>
      <c r="AN6" s="29" t="str">
        <f t="shared" si="10"/>
        <v>W</v>
      </c>
      <c r="AO6" s="29" t="str">
        <f t="shared" si="10"/>
        <v>T</v>
      </c>
      <c r="AP6" s="29" t="str">
        <f t="shared" si="10"/>
        <v>F</v>
      </c>
      <c r="AQ6" s="29" t="str">
        <f t="shared" si="10"/>
        <v>S</v>
      </c>
      <c r="AR6" s="30" t="str">
        <f t="shared" si="10"/>
        <v>S</v>
      </c>
      <c r="AS6" s="28" t="str">
        <f t="shared" si="10"/>
        <v>M</v>
      </c>
      <c r="AT6" s="29" t="str">
        <f t="shared" si="10"/>
        <v>T</v>
      </c>
      <c r="AU6" s="29" t="str">
        <f t="shared" si="10"/>
        <v>W</v>
      </c>
      <c r="AV6" s="29" t="str">
        <f t="shared" si="10"/>
        <v>T</v>
      </c>
      <c r="AW6" s="29" t="str">
        <f t="shared" si="10"/>
        <v>F</v>
      </c>
      <c r="AX6" s="29" t="str">
        <f t="shared" si="10"/>
        <v>S</v>
      </c>
      <c r="AY6" s="30" t="str">
        <f t="shared" si="10"/>
        <v>S</v>
      </c>
      <c r="AZ6" s="28" t="str">
        <f t="shared" si="10"/>
        <v>M</v>
      </c>
      <c r="BA6" s="29" t="str">
        <f t="shared" si="10"/>
        <v>T</v>
      </c>
      <c r="BB6" s="29" t="str">
        <f t="shared" si="10"/>
        <v>W</v>
      </c>
      <c r="BC6" s="29" t="str">
        <f t="shared" si="10"/>
        <v>T</v>
      </c>
      <c r="BD6" s="29" t="str">
        <f t="shared" si="10"/>
        <v>F</v>
      </c>
      <c r="BE6" s="29" t="str">
        <f t="shared" si="10"/>
        <v>S</v>
      </c>
      <c r="BF6" s="30" t="str">
        <f t="shared" si="10"/>
        <v>S</v>
      </c>
    </row>
    <row r="7" spans="1:58" ht="18.5" customHeight="1">
      <c r="A7" s="33" t="str">
        <f>IF(ISERROR(VALUE(SUBSTITUTE(prevWBS,".",""))),"1",IF(ISERROR(FIND("`",SUBSTITUTE(prevWBS,".","`",1))),TEXT(VALUE(prevWBS)+1,"#"),TEXT(VALUE(LEFT(prevWBS,FIND("`",SUBSTITUTE(prevWBS,".","`",1))-1))+1,"#")))</f>
        <v>1</v>
      </c>
      <c r="B7" s="34" t="s">
        <v>0</v>
      </c>
      <c r="C7" s="35"/>
      <c r="D7" s="36"/>
      <c r="E7" s="37"/>
      <c r="F7" s="37"/>
      <c r="G7" s="37"/>
      <c r="H7" s="37"/>
      <c r="I7" s="36"/>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row>
    <row r="8" spans="1:58" ht="18" customHeight="1">
      <c r="A8" s="38" t="str">
        <f t="shared" ref="A8:A9" si="1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8" s="39" t="s">
        <v>1</v>
      </c>
      <c r="C8" s="40"/>
      <c r="D8" s="41"/>
      <c r="E8" s="42">
        <v>44989</v>
      </c>
      <c r="F8" s="44">
        <v>45000</v>
      </c>
      <c r="G8" s="43">
        <f>_xlfn.DAYS(F8,E8)</f>
        <v>11</v>
      </c>
      <c r="H8" s="45">
        <v>1</v>
      </c>
      <c r="I8" s="41"/>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row>
    <row r="9" spans="1:58" ht="18" customHeight="1">
      <c r="A9" s="38" t="str">
        <f t="shared" si="11"/>
        <v>1.2</v>
      </c>
      <c r="B9" s="39" t="s">
        <v>2</v>
      </c>
      <c r="C9" s="40"/>
      <c r="D9" s="41"/>
      <c r="E9" s="42">
        <v>45029</v>
      </c>
      <c r="F9" s="44">
        <v>45030</v>
      </c>
      <c r="G9" s="43">
        <f>_xlfn.DAYS(F9,E9)</f>
        <v>1</v>
      </c>
      <c r="H9" s="45">
        <v>1</v>
      </c>
      <c r="I9" s="41"/>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row>
    <row r="10" spans="1:58" ht="18.5" customHeight="1">
      <c r="A10" s="33" t="str">
        <f>IF(ISERROR(VALUE(SUBSTITUTE(prevWBS,".",""))),"1",IF(ISERROR(FIND("`",SUBSTITUTE(prevWBS,".","`",1))),TEXT(VALUE(prevWBS)+1,"#"),TEXT(VALUE(LEFT(prevWBS,FIND("`",SUBSTITUTE(prevWBS,".","`",1))-1))+1,"#")))</f>
        <v>2</v>
      </c>
      <c r="B10" s="34" t="s">
        <v>3</v>
      </c>
      <c r="C10" s="35"/>
      <c r="D10" s="36"/>
      <c r="E10" s="37"/>
      <c r="F10" s="37"/>
      <c r="G10" s="37"/>
      <c r="H10" s="37"/>
      <c r="I10" s="36"/>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row>
    <row r="11" spans="1:58" ht="18" customHeight="1">
      <c r="A11" s="3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1" s="39" t="s">
        <v>4</v>
      </c>
      <c r="C11" s="40"/>
      <c r="D11" s="41"/>
      <c r="E11" s="42">
        <v>45009</v>
      </c>
      <c r="F11" s="44">
        <v>45065</v>
      </c>
      <c r="G11" s="43">
        <f>_xlfn.DAYS(F11,E11)</f>
        <v>56</v>
      </c>
      <c r="H11" s="45">
        <v>0.75</v>
      </c>
      <c r="I11" s="41"/>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row>
    <row r="12" spans="1:58" ht="18" customHeight="1">
      <c r="A12" s="3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2" s="39" t="s">
        <v>5</v>
      </c>
      <c r="C12" s="40"/>
      <c r="D12" s="41"/>
      <c r="E12" s="42">
        <v>45009</v>
      </c>
      <c r="F12" s="44">
        <v>45065</v>
      </c>
      <c r="G12" s="43">
        <f>_xlfn.DAYS(F12,E12)</f>
        <v>56</v>
      </c>
      <c r="H12" s="45">
        <v>0.85</v>
      </c>
      <c r="I12" s="41"/>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row>
    <row r="13" spans="1:58" ht="18.5" customHeight="1">
      <c r="A13" s="33" t="str">
        <f>IF(ISERROR(VALUE(SUBSTITUTE(prevWBS,".",""))),"1",IF(ISERROR(FIND("`",SUBSTITUTE(prevWBS,".","`",1))),TEXT(VALUE(prevWBS)+1,"#"),TEXT(VALUE(LEFT(prevWBS,FIND("`",SUBSTITUTE(prevWBS,".","`",1))-1))+1,"#")))</f>
        <v>3</v>
      </c>
      <c r="B13" s="34" t="s">
        <v>6</v>
      </c>
      <c r="C13" s="35"/>
      <c r="D13" s="41"/>
      <c r="E13" s="37"/>
      <c r="F13" s="37"/>
      <c r="G13" s="37"/>
      <c r="H13" s="37"/>
      <c r="I13" s="36"/>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row>
    <row r="14" spans="1:58" ht="18" customHeight="1">
      <c r="A14" s="3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4" s="39" t="s">
        <v>22</v>
      </c>
      <c r="C14" s="40"/>
      <c r="D14" s="41"/>
      <c r="E14" s="42">
        <v>44998</v>
      </c>
      <c r="F14" s="44">
        <v>45016</v>
      </c>
      <c r="G14" s="43">
        <f>_xlfn.DAYS(F14,E14)</f>
        <v>18</v>
      </c>
      <c r="H14" s="45">
        <v>0.8</v>
      </c>
      <c r="I14" s="41"/>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row>
    <row r="15" spans="1:58" ht="18" customHeight="1">
      <c r="A15" s="38">
        <v>3.2</v>
      </c>
      <c r="B15" s="39" t="s">
        <v>23</v>
      </c>
      <c r="C15" s="40"/>
      <c r="D15" s="41"/>
      <c r="E15" s="42">
        <v>45023</v>
      </c>
      <c r="F15" s="44">
        <v>45065</v>
      </c>
      <c r="G15" s="43">
        <f>_xlfn.DAYS(F15,E15)</f>
        <v>42</v>
      </c>
      <c r="H15" s="45">
        <v>1</v>
      </c>
      <c r="I15" s="41"/>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row>
    <row r="16" spans="1:58" ht="18" customHeight="1">
      <c r="A16" s="3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16" s="39" t="s">
        <v>24</v>
      </c>
      <c r="C16" s="40"/>
      <c r="D16" s="41"/>
      <c r="E16" s="42">
        <v>44994</v>
      </c>
      <c r="F16" s="44">
        <v>45016</v>
      </c>
      <c r="G16" s="43">
        <f>_xlfn.DAYS(F16,E16)</f>
        <v>22</v>
      </c>
      <c r="H16" s="45">
        <v>0.5</v>
      </c>
      <c r="I16" s="41"/>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row>
    <row r="17" spans="1:58" ht="18" customHeight="1">
      <c r="A17" s="38">
        <v>3.4</v>
      </c>
      <c r="B17" s="39" t="s">
        <v>25</v>
      </c>
      <c r="C17" s="40"/>
      <c r="D17" s="41"/>
      <c r="E17" s="42">
        <v>45030</v>
      </c>
      <c r="F17" s="44">
        <v>45072</v>
      </c>
      <c r="G17" s="43">
        <f>_xlfn.DAYS(F17,E17)</f>
        <v>42</v>
      </c>
      <c r="H17" s="45">
        <v>1</v>
      </c>
      <c r="I17" s="41"/>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row>
    <row r="18" spans="1:58" ht="18.5" customHeight="1">
      <c r="A18" s="33" t="str">
        <f>IF(ISERROR(VALUE(SUBSTITUTE(prevWBS,".",""))),"1",IF(ISERROR(FIND("`",SUBSTITUTE(prevWBS,".","`",1))),TEXT(VALUE(prevWBS)+1,"#"),TEXT(VALUE(LEFT(prevWBS,FIND("`",SUBSTITUTE(prevWBS,".","`",1))-1))+1,"#")))</f>
        <v>4</v>
      </c>
      <c r="B18" s="34" t="s">
        <v>7</v>
      </c>
      <c r="C18" s="35"/>
      <c r="D18" s="36"/>
      <c r="E18" s="37"/>
      <c r="F18" s="37"/>
      <c r="G18" s="37"/>
      <c r="H18" s="37"/>
      <c r="I18" s="36"/>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row>
    <row r="19" spans="1:58" ht="18" customHeight="1">
      <c r="A19" s="3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19" s="39" t="s">
        <v>8</v>
      </c>
      <c r="C19" s="40"/>
      <c r="D19" s="41"/>
      <c r="E19" s="42">
        <v>44994</v>
      </c>
      <c r="F19" s="44">
        <v>45072</v>
      </c>
      <c r="G19" s="43">
        <f>_xlfn.DAYS(F19,E19)</f>
        <v>78</v>
      </c>
      <c r="H19" s="45">
        <v>1</v>
      </c>
      <c r="I19" s="41"/>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row>
    <row r="20" spans="1:58" ht="18" customHeight="1">
      <c r="A20" s="3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0" s="39" t="s">
        <v>9</v>
      </c>
      <c r="C20" s="40"/>
      <c r="D20" s="41"/>
      <c r="E20" s="42">
        <v>45009</v>
      </c>
      <c r="F20" s="44">
        <v>45072</v>
      </c>
      <c r="G20" s="43">
        <f>_xlfn.DAYS(F20,E20)</f>
        <v>63</v>
      </c>
      <c r="H20" s="45">
        <v>0.98</v>
      </c>
      <c r="I20" s="41"/>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row>
  </sheetData>
  <mergeCells count="17">
    <mergeCell ref="AS3:AY3"/>
    <mergeCell ref="AZ3:BF3"/>
    <mergeCell ref="J4:P4"/>
    <mergeCell ref="Q4:W4"/>
    <mergeCell ref="X4:AD4"/>
    <mergeCell ref="AE4:AK4"/>
    <mergeCell ref="AL4:AR4"/>
    <mergeCell ref="AS4:AY4"/>
    <mergeCell ref="AZ4:BF4"/>
    <mergeCell ref="C3:E3"/>
    <mergeCell ref="C4:E4"/>
    <mergeCell ref="AC1:AQ1"/>
    <mergeCell ref="J3:P3"/>
    <mergeCell ref="Q3:W3"/>
    <mergeCell ref="X3:AD3"/>
    <mergeCell ref="AE3:AK3"/>
    <mergeCell ref="AL3:AR3"/>
  </mergeCells>
  <phoneticPr fontId="3" type="noConversion"/>
  <conditionalFormatting sqref="J5:BF6">
    <cfRule type="expression" dxfId="2" priority="3">
      <formula>J$5=TODAY()</formula>
    </cfRule>
  </conditionalFormatting>
  <conditionalFormatting sqref="J5:BF6">
    <cfRule type="expression" dxfId="1" priority="2">
      <formula>J$5=TODAY()</formula>
    </cfRule>
  </conditionalFormatting>
  <conditionalFormatting sqref="J7:BF20">
    <cfRule type="expression" dxfId="0" priority="1">
      <formula>AND(J$5&gt;=$E7,J$5&lt;=$F7)</formula>
    </cfRule>
  </conditionalFormatting>
  <dataValidations count="1">
    <dataValidation allowBlank="1" showInputMessage="1" showErrorMessage="1" promptTitle="Display Week" prompt="Enter the week number to display first in the Gantt Chart. The weeks are numbered starting from the week containing the Start Date." sqref="H3" xr:uid="{39A485C8-C1D5-4D96-BC49-5D81128B15CE}"/>
  </dataValidations>
  <printOptions horizontalCentered="1" verticalCentered="1"/>
  <pageMargins left="0.70866141732283472" right="0.70866141732283472" top="0.74803149606299213" bottom="0.74803149606299213" header="0.31496062992125984" footer="0.31496062992125984"/>
  <pageSetup paperSize="9" scale="65" orientation="landscape"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Sheet1</vt:lpstr>
      <vt:lpstr>display_week</vt:lpstr>
      <vt:lpstr>Sheet1!prevWBS</vt:lpstr>
      <vt:lpstr>Sheet1!Print_Area</vt:lpstr>
      <vt:lpstr>project_start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Jacquelyn</dc:creator>
  <cp:lastModifiedBy>Jacquelyn</cp:lastModifiedBy>
  <cp:lastPrinted>2023-05-23T10:42:29Z</cp:lastPrinted>
  <dcterms:created xsi:type="dcterms:W3CDTF">2023-05-22T13:43:17Z</dcterms:created>
  <dcterms:modified xsi:type="dcterms:W3CDTF">2023-05-24T07:06:48Z</dcterms:modified>
</cp:coreProperties>
</file>